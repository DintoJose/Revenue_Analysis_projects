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nto Jose\Desktop\"/>
    </mc:Choice>
  </mc:AlternateContent>
  <xr:revisionPtr revIDLastSave="0" documentId="8_{0C619696-1F1C-41F1-ABC9-6307F45DE835}" xr6:coauthVersionLast="47" xr6:coauthVersionMax="47" xr10:uidLastSave="{00000000-0000-0000-0000-000000000000}"/>
  <bookViews>
    <workbookView xWindow="-108" yWindow="-108" windowWidth="23256" windowHeight="12456" xr2:uid="{E81DD58C-1022-47FB-B4FF-E1C07D95FEAE}"/>
  </bookViews>
  <sheets>
    <sheet name="Analysis" sheetId="4" r:id="rId1"/>
    <sheet name="Order Data" sheetId="1" r:id="rId2"/>
    <sheet name="Customer Data" sheetId="2" r:id="rId3"/>
    <sheet name="Product Data" sheetId="3" r:id="rId4"/>
  </sheets>
  <definedNames>
    <definedName name="NativeTimeline_Order_Date">#N/A</definedName>
  </definedNames>
  <calcPr calcId="191029" concurrentCalc="0"/>
  <pivotCaches>
    <pivotCache cacheId="0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4" l="1"/>
  <c r="D15" i="4"/>
  <c r="F3" i="1"/>
  <c r="F4" i="1"/>
  <c r="F5" i="1"/>
  <c r="F6" i="1"/>
  <c r="F7" i="1"/>
  <c r="F8" i="1"/>
  <c r="F9" i="1"/>
  <c r="F2" i="1"/>
  <c r="L3" i="1"/>
  <c r="L4" i="1"/>
  <c r="L5" i="1"/>
  <c r="L6" i="1"/>
  <c r="L7" i="1"/>
  <c r="L8" i="1"/>
  <c r="L9" i="1"/>
  <c r="L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2" i="1"/>
  <c r="K2" i="1"/>
  <c r="I3" i="1"/>
  <c r="I4" i="1"/>
  <c r="I5" i="1"/>
  <c r="I6" i="1"/>
  <c r="I7" i="1"/>
  <c r="I8" i="1"/>
  <c r="I9" i="1"/>
  <c r="I2" i="1"/>
  <c r="H2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<sst xmlns="http://schemas.openxmlformats.org/spreadsheetml/2006/main" count="100" uniqueCount="62">
  <si>
    <t>Order_ID</t>
  </si>
  <si>
    <t>Order_Date</t>
  </si>
  <si>
    <t>Customer_ID</t>
  </si>
  <si>
    <t>Product_ID</t>
  </si>
  <si>
    <t>Quantity</t>
  </si>
  <si>
    <t>O1001</t>
  </si>
  <si>
    <t>C101</t>
  </si>
  <si>
    <t>P201</t>
  </si>
  <si>
    <t>O1002</t>
  </si>
  <si>
    <t>C102</t>
  </si>
  <si>
    <t>P203</t>
  </si>
  <si>
    <t>O1003</t>
  </si>
  <si>
    <t>C103</t>
  </si>
  <si>
    <t>P202</t>
  </si>
  <si>
    <t>O1004</t>
  </si>
  <si>
    <t>P204</t>
  </si>
  <si>
    <t>O1005</t>
  </si>
  <si>
    <t>C104</t>
  </si>
  <si>
    <t>O1006</t>
  </si>
  <si>
    <t>O1007</t>
  </si>
  <si>
    <t>C105</t>
  </si>
  <si>
    <t>O1008</t>
  </si>
  <si>
    <t>Customer_Name</t>
  </si>
  <si>
    <t>City</t>
  </si>
  <si>
    <t>Segment</t>
  </si>
  <si>
    <t>Amit Sharma</t>
  </si>
  <si>
    <t>Mumbai</t>
  </si>
  <si>
    <t>Premium</t>
  </si>
  <si>
    <t>Neha Verma</t>
  </si>
  <si>
    <t>Delhi</t>
  </si>
  <si>
    <t>Regular</t>
  </si>
  <si>
    <t>Rahul Iyer</t>
  </si>
  <si>
    <t>Bangalore</t>
  </si>
  <si>
    <t>Pooja Singh</t>
  </si>
  <si>
    <t>Pune</t>
  </si>
  <si>
    <t>Kunal Mehta</t>
  </si>
  <si>
    <t>Ahmedabad</t>
  </si>
  <si>
    <t>Product_Name</t>
  </si>
  <si>
    <t>Category</t>
  </si>
  <si>
    <t>Unit_Price</t>
  </si>
  <si>
    <t>Wireless Mouse</t>
  </si>
  <si>
    <t>Electronics</t>
  </si>
  <si>
    <t>Keyboard</t>
  </si>
  <si>
    <t>USB Hub</t>
  </si>
  <si>
    <t>Accessories</t>
  </si>
  <si>
    <t>Laptop Stand</t>
  </si>
  <si>
    <t>Customer Name</t>
  </si>
  <si>
    <t>Product Name</t>
  </si>
  <si>
    <t>Unit Price</t>
  </si>
  <si>
    <t>Order Value</t>
  </si>
  <si>
    <t>Sum of Order Value</t>
  </si>
  <si>
    <t>Row Labels</t>
  </si>
  <si>
    <t>Grand Total</t>
  </si>
  <si>
    <t>Column Labels</t>
  </si>
  <si>
    <t>Accessories Total</t>
  </si>
  <si>
    <t>Electronics Total</t>
  </si>
  <si>
    <t>Portion of revenue from Regular customers</t>
  </si>
  <si>
    <t>Portion of revenue from Premium customers</t>
  </si>
  <si>
    <t>Revenue Distribution across Customer sections</t>
  </si>
  <si>
    <t>Observations</t>
  </si>
  <si>
    <t xml:space="preserve">Observed Zero sales from the electronics segment in Ahmedabad and zero sales from the acessories segment in Pune. </t>
  </si>
  <si>
    <t>Company has to rewire their sales and marketing strategies in these cities to stay competitve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</si>
</sst>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1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15</xdr:col>
      <xdr:colOff>556260</xdr:colOff>
      <xdr:row>6</xdr:row>
      <xdr:rowOff>144780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_Date">
              <a:extLst>
                <a:ext uri="{FF2B5EF4-FFF2-40B4-BE49-F238E27FC236}">
                  <a16:creationId xmlns:a16="http://schemas.microsoft.com/office/drawing/2014/main" id="{67FF242E-748E-459B-A228-574E67A837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0940" y="182880"/>
              <a:ext cx="333756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to Jose" refreshedDate="46015.569470601855" createdVersion="8" refreshedVersion="8" minRefreshableVersion="3" recordCount="8" xr:uid="{F5453E50-8308-45FA-BF4D-C66BAA8AA583}">
  <cacheSource type="worksheet">
    <worksheetSource name="Table2"/>
  </cacheSource>
  <cacheFields count="12">
    <cacheField name="Order_ID" numFmtId="0">
      <sharedItems/>
    </cacheField>
    <cacheField name="Order_Date" numFmtId="15">
      <sharedItems containsSemiMixedTypes="0" containsNonDate="0" containsDate="1" containsString="0" minDate="2024-01-01T00:00:00" maxDate="2024-01-08T00:00:00" count="7">
        <d v="2024-01-01T00:00:00"/>
        <d v="2024-01-02T00:00:00"/>
        <d v="2024-01-03T00:00:00"/>
        <d v="2024-01-04T00:00:00"/>
        <d v="2024-01-05T00:00:00"/>
        <d v="2024-01-06T00:00:00"/>
        <d v="2024-01-07T00:00:00"/>
      </sharedItems>
    </cacheField>
    <cacheField name="Customer_ID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Customer Name" numFmtId="0">
      <sharedItems/>
    </cacheField>
    <cacheField name="Segment" numFmtId="0">
      <sharedItems count="2">
        <s v="Premium"/>
        <s v="Regular"/>
      </sharedItems>
    </cacheField>
    <cacheField name="Product Name" numFmtId="0">
      <sharedItems/>
    </cacheField>
    <cacheField name="Category" numFmtId="0">
      <sharedItems count="2">
        <s v="Electronics"/>
        <s v="Accessories"/>
      </sharedItems>
    </cacheField>
    <cacheField name="Unit Price" numFmtId="0">
      <sharedItems containsSemiMixedTypes="0" containsString="0" containsNumber="1" containsInteger="1" minValue="800" maxValue="2000"/>
    </cacheField>
    <cacheField name="Order Value" numFmtId="0">
      <sharedItems containsSemiMixedTypes="0" containsString="0" containsNumber="1" containsInteger="1" minValue="800" maxValue="4800"/>
    </cacheField>
    <cacheField name="City" numFmtId="0">
      <sharedItems count="5">
        <s v="Mumbai"/>
        <s v="Delhi"/>
        <s v="Bangalore"/>
        <s v="Pune"/>
        <s v="Ahmedabad"/>
      </sharedItems>
    </cacheField>
  </cacheFields>
  <extLst>
    <ext xmlns:x14="http://schemas.microsoft.com/office/spreadsheetml/2009/9/main" uri="{725AE2AE-9491-48be-B2B4-4EB974FC3084}">
      <x14:pivotCacheDefinition pivotCacheId="450773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O1001"/>
    <x v="0"/>
    <s v="C101"/>
    <s v="P201"/>
    <x v="0"/>
    <s v="Amit Sharma"/>
    <x v="0"/>
    <s v="Wireless Mouse"/>
    <x v="0"/>
    <n v="1200"/>
    <n v="2400"/>
    <x v="0"/>
  </r>
  <r>
    <s v="O1002"/>
    <x v="1"/>
    <s v="C102"/>
    <s v="P203"/>
    <x v="1"/>
    <s v="Neha Verma"/>
    <x v="1"/>
    <s v="USB Hub"/>
    <x v="1"/>
    <n v="800"/>
    <n v="800"/>
    <x v="1"/>
  </r>
  <r>
    <s v="O1003"/>
    <x v="1"/>
    <s v="C103"/>
    <s v="P202"/>
    <x v="2"/>
    <s v="Rahul Iyer"/>
    <x v="0"/>
    <s v="Keyboard"/>
    <x v="0"/>
    <n v="1500"/>
    <n v="4500"/>
    <x v="2"/>
  </r>
  <r>
    <s v="O1004"/>
    <x v="2"/>
    <s v="C101"/>
    <s v="P204"/>
    <x v="1"/>
    <s v="Amit Sharma"/>
    <x v="0"/>
    <s v="Laptop Stand"/>
    <x v="1"/>
    <n v="2000"/>
    <n v="2000"/>
    <x v="0"/>
  </r>
  <r>
    <s v="O1005"/>
    <x v="3"/>
    <s v="C104"/>
    <s v="P201"/>
    <x v="3"/>
    <s v="Pooja Singh"/>
    <x v="1"/>
    <s v="Wireless Mouse"/>
    <x v="0"/>
    <n v="1200"/>
    <n v="4800"/>
    <x v="3"/>
  </r>
  <r>
    <s v="O1006"/>
    <x v="4"/>
    <s v="C102"/>
    <s v="P202"/>
    <x v="0"/>
    <s v="Neha Verma"/>
    <x v="1"/>
    <s v="Keyboard"/>
    <x v="0"/>
    <n v="1500"/>
    <n v="3000"/>
    <x v="1"/>
  </r>
  <r>
    <s v="O1007"/>
    <x v="5"/>
    <s v="C105"/>
    <s v="P203"/>
    <x v="1"/>
    <s v="Kunal Mehta"/>
    <x v="1"/>
    <s v="USB Hub"/>
    <x v="1"/>
    <n v="800"/>
    <n v="800"/>
    <x v="4"/>
  </r>
  <r>
    <s v="O1008"/>
    <x v="6"/>
    <s v="C103"/>
    <s v="P204"/>
    <x v="0"/>
    <s v="Rahul Iyer"/>
    <x v="0"/>
    <s v="Laptop Stand"/>
    <x v="1"/>
    <n v="2000"/>
    <n v="4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F5F98-62A1-4554-B117-2F010EF825C3}" name="PivotTable2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2:H10" firstHeaderRow="1" firstDataRow="3" firstDataCol="1"/>
  <pivotFields count="12">
    <pivotField showAll="0"/>
    <pivotField numFmtId="15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  <pivotField dataField="1" showAll="0"/>
    <pivotField axis="axisRow" showAll="0">
      <items count="6">
        <item x="4"/>
        <item x="2"/>
        <item x="1"/>
        <item x="0"/>
        <item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8"/>
    <field x="6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Order Value" fld="10" baseField="0" baseItem="0"/>
  </dataFields>
  <pivotTableStyleInfo name="PivotStyleLight16" showRowHeaders="1" showColHeaders="1" showRowStripes="0" showColStripes="0" showLastColumn="1"/>
  <filters count="1">
    <filter fld="1" type="dateBetween" evalOrder="-1" id="36" name="Order_Date">
      <autoFilter ref="A1">
        <filterColumn colId="0">
          <customFilters and="1">
            <customFilter operator="greaterThanOrEqual" val="45292"/>
            <customFilter operator="lessThanOrEqual" val="4530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7282EA-EDB3-4C48-8AF9-7DE22B046AB6}" name="Table2" displayName="Table2" ref="A1:L9" totalsRowShown="0" headerRowDxfId="7">
  <autoFilter ref="A1:L9" xr:uid="{B47282EA-EDB3-4C48-8AF9-7DE22B046AB6}"/>
  <tableColumns count="12">
    <tableColumn id="1" xr3:uid="{65346125-9949-4404-942F-AC8D96834F00}" name="Order_ID" dataDxfId="6"/>
    <tableColumn id="2" xr3:uid="{9DFB475E-161D-47CE-8C17-C020E3ADB63A}" name="Order_Date" dataDxfId="5"/>
    <tableColumn id="3" xr3:uid="{0B378AC0-72CF-485C-BF8D-1AFD6B8CBC61}" name="Customer_ID" dataDxfId="4"/>
    <tableColumn id="4" xr3:uid="{B6223D51-6B1C-45C0-9232-31636708178B}" name="Product_ID" dataDxfId="3"/>
    <tableColumn id="5" xr3:uid="{616DC9FE-1F91-4B0D-9D97-C620A762F208}" name="Quantity" dataDxfId="2"/>
    <tableColumn id="6" xr3:uid="{6E2EC8B2-2C05-472D-9E57-1224F5F3F6A0}" name="Customer Name" dataDxfId="1">
      <calculatedColumnFormula>IFERROR(VLOOKUP(C2,'Customer Data'!$A$2:$D$6,2,TRUE),"Not Found")</calculatedColumnFormula>
    </tableColumn>
    <tableColumn id="7" xr3:uid="{3E76B653-C120-47C3-BF3A-E59E3843B712}" name="Segment">
      <calculatedColumnFormula>_xlfn.XLOOKUP(F2,'Customer Data'!$B$2:$B$6,'Customer Data'!$D$2:$D$6,,0,1)</calculatedColumnFormula>
    </tableColumn>
    <tableColumn id="8" xr3:uid="{01B30C93-51D0-4B2A-897F-BC948931D933}" name="Product Name">
      <calculatedColumnFormula>_xlfn.XLOOKUP(D2,'Product Data'!$A$2:$A$5,'Product Data'!$B$2:$B$5,,0,1)</calculatedColumnFormula>
    </tableColumn>
    <tableColumn id="9" xr3:uid="{6336B07E-78F5-4FBB-BCCE-CC1200A6104B}" name="Category">
      <calculatedColumnFormula>_xlfn.XLOOKUP(D2,'Product Data'!$A$2:$A$5,'Product Data'!$C$2:$C$5,,0,1)</calculatedColumnFormula>
    </tableColumn>
    <tableColumn id="10" xr3:uid="{CF4CA2EF-95FE-47EC-A781-02BE1BBF5D1C}" name="Unit Price">
      <calculatedColumnFormula>_xlfn.XLOOKUP('Order Data'!D2,'Product Data'!$A$2:$A$5,'Product Data'!$D$2:$D$5,,0,1)</calculatedColumnFormula>
    </tableColumn>
    <tableColumn id="11" xr3:uid="{073DBF11-E527-42F7-8DC0-0880D6E733D7}" name="Order Value">
      <calculatedColumnFormula>E2*J2</calculatedColumnFormula>
    </tableColumn>
    <tableColumn id="12" xr3:uid="{2AC8A4DB-70F0-4113-8EDC-530C48F8255C}" name="City" dataDxfId="0">
      <calculatedColumnFormula>_xlfn.XLOOKUP(Table2[[#This Row],[Customer Name]],'Customer Data'!$B$2:$B$6,'Customer Data'!$C$2:$C$6,,0,1)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C05A5AE4-3DC7-4F87-A1CF-E7D072C4D2D9}" sourceName="Order_Date">
  <pivotTables>
    <pivotTable tabId="4" name="PivotTable2"/>
  </pivotTables>
  <state minimalRefreshVersion="6" lastRefreshVersion="6" pivotCacheId="450773529" filterType="dateBetween">
    <selection startDate="2024-01-01T00:00:00" endDate="2024-01-10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D334CF41-CFC4-4983-9A0C-4F1D0A95A9B2}" cache="NativeTimeline_Order_Date" caption="Order_Date" level="3" selectionLevel="3" scrollPosition="2024-01-01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1C99-57DA-4770-8DF0-8989287E2D25}">
  <dimension ref="A2:P15"/>
  <sheetViews>
    <sheetView tabSelected="1" workbookViewId="0">
      <selection activeCell="D6" sqref="D6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7.33203125" bestFit="1" customWidth="1"/>
    <col min="4" max="4" width="15.33203125" bestFit="1" customWidth="1"/>
    <col min="5" max="5" width="12" bestFit="1" customWidth="1"/>
    <col min="6" max="6" width="7.33203125" customWidth="1"/>
    <col min="7" max="7" width="14.77734375" bestFit="1" customWidth="1"/>
    <col min="8" max="8" width="10.77734375" bestFit="1" customWidth="1"/>
  </cols>
  <sheetData>
    <row r="2" spans="1:16" x14ac:dyDescent="0.3">
      <c r="A2" s="4" t="s">
        <v>50</v>
      </c>
      <c r="B2" s="4" t="s">
        <v>53</v>
      </c>
    </row>
    <row r="3" spans="1:16" ht="25.2" customHeight="1" x14ac:dyDescent="0.3">
      <c r="B3" t="s">
        <v>44</v>
      </c>
      <c r="D3" t="s">
        <v>54</v>
      </c>
      <c r="E3" t="s">
        <v>41</v>
      </c>
      <c r="G3" t="s">
        <v>55</v>
      </c>
      <c r="H3" t="s">
        <v>52</v>
      </c>
    </row>
    <row r="4" spans="1:16" ht="25.2" customHeight="1" x14ac:dyDescent="0.3">
      <c r="A4" s="4" t="s">
        <v>51</v>
      </c>
      <c r="B4" t="s">
        <v>27</v>
      </c>
      <c r="C4" t="s">
        <v>30</v>
      </c>
      <c r="E4" t="s">
        <v>27</v>
      </c>
      <c r="F4" t="s">
        <v>30</v>
      </c>
    </row>
    <row r="5" spans="1:16" ht="25.2" customHeight="1" x14ac:dyDescent="0.3">
      <c r="A5" s="5" t="s">
        <v>36</v>
      </c>
      <c r="C5">
        <v>800</v>
      </c>
      <c r="D5">
        <v>800</v>
      </c>
      <c r="H5">
        <v>800</v>
      </c>
    </row>
    <row r="6" spans="1:16" ht="25.2" customHeight="1" x14ac:dyDescent="0.3">
      <c r="A6" s="5" t="s">
        <v>32</v>
      </c>
      <c r="B6">
        <v>4000</v>
      </c>
      <c r="D6">
        <v>4000</v>
      </c>
      <c r="E6">
        <v>4500</v>
      </c>
      <c r="G6">
        <v>4500</v>
      </c>
      <c r="H6">
        <v>8500</v>
      </c>
    </row>
    <row r="7" spans="1:16" ht="25.2" customHeight="1" x14ac:dyDescent="0.3">
      <c r="A7" s="5" t="s">
        <v>29</v>
      </c>
      <c r="C7">
        <v>800</v>
      </c>
      <c r="D7">
        <v>800</v>
      </c>
      <c r="F7">
        <v>3000</v>
      </c>
      <c r="G7">
        <v>3000</v>
      </c>
      <c r="H7">
        <v>3800</v>
      </c>
    </row>
    <row r="8" spans="1:16" ht="25.2" customHeight="1" x14ac:dyDescent="0.3">
      <c r="A8" s="5" t="s">
        <v>26</v>
      </c>
      <c r="B8">
        <v>2000</v>
      </c>
      <c r="D8">
        <v>2000</v>
      </c>
      <c r="E8">
        <v>2400</v>
      </c>
      <c r="G8">
        <v>2400</v>
      </c>
      <c r="H8">
        <v>4400</v>
      </c>
    </row>
    <row r="9" spans="1:16" ht="25.2" customHeight="1" x14ac:dyDescent="0.3">
      <c r="A9" s="5" t="s">
        <v>34</v>
      </c>
      <c r="F9">
        <v>4800</v>
      </c>
      <c r="G9">
        <v>4800</v>
      </c>
      <c r="H9">
        <v>4800</v>
      </c>
    </row>
    <row r="10" spans="1:16" ht="25.2" customHeight="1" x14ac:dyDescent="0.3">
      <c r="A10" s="5" t="s">
        <v>52</v>
      </c>
      <c r="B10">
        <v>6000</v>
      </c>
      <c r="C10">
        <v>1600</v>
      </c>
      <c r="D10">
        <v>7600</v>
      </c>
      <c r="E10">
        <v>6900</v>
      </c>
      <c r="F10">
        <v>7800</v>
      </c>
      <c r="G10">
        <v>14700</v>
      </c>
      <c r="H10">
        <v>22300</v>
      </c>
    </row>
    <row r="13" spans="1:16" ht="28.2" customHeight="1" x14ac:dyDescent="0.3">
      <c r="A13" s="7" t="s">
        <v>58</v>
      </c>
      <c r="B13" s="8"/>
      <c r="C13" s="8"/>
      <c r="D13" s="9"/>
      <c r="F13" s="7" t="s">
        <v>59</v>
      </c>
      <c r="G13" s="8"/>
      <c r="H13" s="8"/>
      <c r="I13" s="8"/>
      <c r="J13" s="8"/>
      <c r="K13" s="8"/>
      <c r="L13" s="8"/>
      <c r="M13" s="8"/>
      <c r="N13" s="8"/>
      <c r="O13" s="8"/>
      <c r="P13" s="9"/>
    </row>
    <row r="14" spans="1:16" ht="28.2" customHeight="1" x14ac:dyDescent="0.3">
      <c r="A14" s="6" t="s">
        <v>57</v>
      </c>
      <c r="B14" s="6"/>
      <c r="C14" s="6"/>
      <c r="D14" s="6">
        <f>(GETPIVOTDATA("Order Value",Analysis!$A$2,"Segment","Premium","Category","Accessories")+GETPIVOTDATA("Order Value",Analysis!$A$2,"Segment","Premium","Category","Electronics"))/(GETPIVOTDATA("Order Value",Analysis!$A$2))*100</f>
        <v>57.847533632286996</v>
      </c>
      <c r="F14" s="6" t="s">
        <v>60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28.2" customHeight="1" x14ac:dyDescent="0.3">
      <c r="A15" s="6" t="s">
        <v>56</v>
      </c>
      <c r="B15" s="6"/>
      <c r="C15" s="6"/>
      <c r="D15" s="6">
        <f>(GETPIVOTDATA("Order Value",Analysis!$A$2,"Segment","Regular","Category","Accessories")+GETPIVOTDATA("Order Value",Analysis!$A$2,"Segment","Regular","Category","Electronics"))/(GETPIVOTDATA("Order Value",Analysis!$A$2))*100</f>
        <v>42.152466367713004</v>
      </c>
      <c r="F15" s="11" t="s">
        <v>61</v>
      </c>
      <c r="G15" s="12"/>
      <c r="H15" s="12"/>
      <c r="I15" s="12"/>
      <c r="J15" s="12"/>
      <c r="K15" s="12"/>
      <c r="L15" s="12"/>
      <c r="M15" s="12"/>
      <c r="N15" s="12"/>
      <c r="O15" s="12"/>
      <c r="P15" s="13"/>
    </row>
  </sheetData>
  <mergeCells count="3">
    <mergeCell ref="F13:P13"/>
    <mergeCell ref="A13:D13"/>
    <mergeCell ref="F15:P15"/>
  </mergeCells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44BC-CC26-4599-BE52-EB4967F6EC45}">
  <dimension ref="A1:L9"/>
  <sheetViews>
    <sheetView workbookViewId="0">
      <selection activeCell="L5" sqref="L5"/>
    </sheetView>
  </sheetViews>
  <sheetFormatPr defaultColWidth="11.88671875" defaultRowHeight="14.4" x14ac:dyDescent="0.3"/>
  <cols>
    <col min="1" max="1" width="17.6640625" bestFit="1" customWidth="1"/>
    <col min="2" max="2" width="15.5546875" bestFit="1" customWidth="1"/>
    <col min="3" max="3" width="7.33203125" bestFit="1" customWidth="1"/>
    <col min="4" max="4" width="15.33203125" bestFit="1" customWidth="1"/>
    <col min="5" max="5" width="12" bestFit="1" customWidth="1"/>
    <col min="6" max="6" width="7.33203125" bestFit="1" customWidth="1"/>
    <col min="7" max="7" width="14.77734375" bestFit="1" customWidth="1"/>
    <col min="8" max="8" width="10.77734375" bestFit="1" customWidth="1"/>
    <col min="9" max="9" width="10.44140625" customWidth="1"/>
    <col min="10" max="10" width="11" customWidth="1"/>
    <col min="11" max="11" width="12.88671875" customWidth="1"/>
    <col min="12" max="14" width="10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  <c r="G1" s="1" t="s">
        <v>24</v>
      </c>
      <c r="H1" s="1" t="s">
        <v>47</v>
      </c>
      <c r="I1" s="1" t="s">
        <v>38</v>
      </c>
      <c r="J1" s="1" t="s">
        <v>48</v>
      </c>
      <c r="K1" s="1" t="s">
        <v>49</v>
      </c>
      <c r="L1" s="1" t="s">
        <v>23</v>
      </c>
    </row>
    <row r="2" spans="1:12" x14ac:dyDescent="0.3">
      <c r="A2" s="2" t="s">
        <v>5</v>
      </c>
      <c r="B2" s="3">
        <v>45292</v>
      </c>
      <c r="C2" s="2" t="s">
        <v>6</v>
      </c>
      <c r="D2" s="2" t="s">
        <v>7</v>
      </c>
      <c r="E2" s="2">
        <v>2</v>
      </c>
      <c r="F2" t="str">
        <f>IFERROR(VLOOKUP(C2,'Customer Data'!$A$2:$D$6,2,TRUE),"Not Found")</f>
        <v>Amit Sharma</v>
      </c>
      <c r="G2" t="str">
        <f>_xlfn.XLOOKUP(F2,'Customer Data'!$B$2:$B$6,'Customer Data'!$D$2:$D$6,,0,1)</f>
        <v>Premium</v>
      </c>
      <c r="H2" t="str">
        <f>_xlfn.XLOOKUP(D2,'Product Data'!$A$2:$A$5,'Product Data'!$B$2:$B$5,,0,1)</f>
        <v>Wireless Mouse</v>
      </c>
      <c r="I2" t="str">
        <f>_xlfn.XLOOKUP(D2,'Product Data'!$A$2:$A$5,'Product Data'!$C$2:$C$5,,0,1)</f>
        <v>Electronics</v>
      </c>
      <c r="J2">
        <f>_xlfn.XLOOKUP('Order Data'!D2,'Product Data'!$A$2:$A$5,'Product Data'!$D$2:$D$5,,0,1)</f>
        <v>1200</v>
      </c>
      <c r="K2">
        <f>E2*J2</f>
        <v>2400</v>
      </c>
      <c r="L2" t="str">
        <f>_xlfn.XLOOKUP(Table2[[#This Row],[Customer Name]],'Customer Data'!$B$2:$B$6,'Customer Data'!$C$2:$C$6,,0,1)</f>
        <v>Mumbai</v>
      </c>
    </row>
    <row r="3" spans="1:12" x14ac:dyDescent="0.3">
      <c r="A3" s="2" t="s">
        <v>8</v>
      </c>
      <c r="B3" s="3">
        <v>45293</v>
      </c>
      <c r="C3" s="2" t="s">
        <v>9</v>
      </c>
      <c r="D3" s="2" t="s">
        <v>10</v>
      </c>
      <c r="E3" s="2">
        <v>1</v>
      </c>
      <c r="F3" t="str">
        <f>IFERROR(VLOOKUP(C3,'Customer Data'!$A$2:$D$6,2,TRUE),"Not Found")</f>
        <v>Neha Verma</v>
      </c>
      <c r="G3" t="str">
        <f>_xlfn.XLOOKUP(F3,'Customer Data'!$B$2:$B$6,'Customer Data'!$D$2:$D$6,,0,1)</f>
        <v>Regular</v>
      </c>
      <c r="H3" t="str">
        <f>_xlfn.XLOOKUP(D3,'Product Data'!$A$2:$A$5,'Product Data'!$B$2:$B$5,,0,1)</f>
        <v>USB Hub</v>
      </c>
      <c r="I3" t="str">
        <f>_xlfn.XLOOKUP(D3,'Product Data'!$A$2:$A$5,'Product Data'!$C$2:$C$5,,0,1)</f>
        <v>Accessories</v>
      </c>
      <c r="J3">
        <f>_xlfn.XLOOKUP('Order Data'!D3,'Product Data'!$A$2:$A$5,'Product Data'!$D$2:$D$5,,0,1)</f>
        <v>800</v>
      </c>
      <c r="K3">
        <f t="shared" ref="K3:K9" si="0">E3*J3</f>
        <v>800</v>
      </c>
      <c r="L3" t="str">
        <f>_xlfn.XLOOKUP(Table2[[#This Row],[Customer Name]],'Customer Data'!$B$2:$B$6,'Customer Data'!$C$2:$C$6,,0,1)</f>
        <v>Delhi</v>
      </c>
    </row>
    <row r="4" spans="1:12" x14ac:dyDescent="0.3">
      <c r="A4" s="2" t="s">
        <v>11</v>
      </c>
      <c r="B4" s="3">
        <v>45293</v>
      </c>
      <c r="C4" s="2" t="s">
        <v>12</v>
      </c>
      <c r="D4" s="2" t="s">
        <v>13</v>
      </c>
      <c r="E4" s="2">
        <v>3</v>
      </c>
      <c r="F4" t="str">
        <f>IFERROR(VLOOKUP(C4,'Customer Data'!$A$2:$D$6,2,TRUE),"Not Found")</f>
        <v>Rahul Iyer</v>
      </c>
      <c r="G4" t="str">
        <f>_xlfn.XLOOKUP(F4,'Customer Data'!$B$2:$B$6,'Customer Data'!$D$2:$D$6,,0,1)</f>
        <v>Premium</v>
      </c>
      <c r="H4" t="str">
        <f>_xlfn.XLOOKUP(D4,'Product Data'!$A$2:$A$5,'Product Data'!$B$2:$B$5,,0,1)</f>
        <v>Keyboard</v>
      </c>
      <c r="I4" t="str">
        <f>_xlfn.XLOOKUP(D4,'Product Data'!$A$2:$A$5,'Product Data'!$C$2:$C$5,,0,1)</f>
        <v>Electronics</v>
      </c>
      <c r="J4">
        <f>_xlfn.XLOOKUP('Order Data'!D4,'Product Data'!$A$2:$A$5,'Product Data'!$D$2:$D$5,,0,1)</f>
        <v>1500</v>
      </c>
      <c r="K4">
        <f t="shared" si="0"/>
        <v>4500</v>
      </c>
      <c r="L4" t="str">
        <f>_xlfn.XLOOKUP(Table2[[#This Row],[Customer Name]],'Customer Data'!$B$2:$B$6,'Customer Data'!$C$2:$C$6,,0,1)</f>
        <v>Bangalore</v>
      </c>
    </row>
    <row r="5" spans="1:12" x14ac:dyDescent="0.3">
      <c r="A5" s="2" t="s">
        <v>14</v>
      </c>
      <c r="B5" s="3">
        <v>45294</v>
      </c>
      <c r="C5" s="2" t="s">
        <v>6</v>
      </c>
      <c r="D5" s="2" t="s">
        <v>15</v>
      </c>
      <c r="E5" s="2">
        <v>1</v>
      </c>
      <c r="F5" t="str">
        <f>IFERROR(VLOOKUP(C5,'Customer Data'!$A$2:$D$6,2,TRUE),"Not Found")</f>
        <v>Amit Sharma</v>
      </c>
      <c r="G5" t="str">
        <f>_xlfn.XLOOKUP(F5,'Customer Data'!$B$2:$B$6,'Customer Data'!$D$2:$D$6,,0,1)</f>
        <v>Premium</v>
      </c>
      <c r="H5" t="str">
        <f>_xlfn.XLOOKUP(D5,'Product Data'!$A$2:$A$5,'Product Data'!$B$2:$B$5,,0,1)</f>
        <v>Laptop Stand</v>
      </c>
      <c r="I5" t="str">
        <f>_xlfn.XLOOKUP(D5,'Product Data'!$A$2:$A$5,'Product Data'!$C$2:$C$5,,0,1)</f>
        <v>Accessories</v>
      </c>
      <c r="J5">
        <f>_xlfn.XLOOKUP('Order Data'!D5,'Product Data'!$A$2:$A$5,'Product Data'!$D$2:$D$5,,0,1)</f>
        <v>2000</v>
      </c>
      <c r="K5">
        <f t="shared" si="0"/>
        <v>2000</v>
      </c>
      <c r="L5" t="str">
        <f>_xlfn.XLOOKUP(Table2[[#This Row],[Customer Name]],'Customer Data'!$B$2:$B$6,'Customer Data'!$C$2:$C$6,,0,1)</f>
        <v>Mumbai</v>
      </c>
    </row>
    <row r="6" spans="1:12" x14ac:dyDescent="0.3">
      <c r="A6" s="2" t="s">
        <v>16</v>
      </c>
      <c r="B6" s="3">
        <v>45295</v>
      </c>
      <c r="C6" s="2" t="s">
        <v>17</v>
      </c>
      <c r="D6" s="2" t="s">
        <v>7</v>
      </c>
      <c r="E6" s="2">
        <v>4</v>
      </c>
      <c r="F6" t="str">
        <f>IFERROR(VLOOKUP(C6,'Customer Data'!$A$2:$D$6,2,TRUE),"Not Found")</f>
        <v>Pooja Singh</v>
      </c>
      <c r="G6" t="str">
        <f>_xlfn.XLOOKUP(F6,'Customer Data'!$B$2:$B$6,'Customer Data'!$D$2:$D$6,,0,1)</f>
        <v>Regular</v>
      </c>
      <c r="H6" t="str">
        <f>_xlfn.XLOOKUP(D6,'Product Data'!$A$2:$A$5,'Product Data'!$B$2:$B$5,,0,1)</f>
        <v>Wireless Mouse</v>
      </c>
      <c r="I6" t="str">
        <f>_xlfn.XLOOKUP(D6,'Product Data'!$A$2:$A$5,'Product Data'!$C$2:$C$5,,0,1)</f>
        <v>Electronics</v>
      </c>
      <c r="J6">
        <f>_xlfn.XLOOKUP('Order Data'!D6,'Product Data'!$A$2:$A$5,'Product Data'!$D$2:$D$5,,0,1)</f>
        <v>1200</v>
      </c>
      <c r="K6">
        <f t="shared" si="0"/>
        <v>4800</v>
      </c>
      <c r="L6" t="str">
        <f>_xlfn.XLOOKUP(Table2[[#This Row],[Customer Name]],'Customer Data'!$B$2:$B$6,'Customer Data'!$C$2:$C$6,,0,1)</f>
        <v>Pune</v>
      </c>
    </row>
    <row r="7" spans="1:12" x14ac:dyDescent="0.3">
      <c r="A7" s="2" t="s">
        <v>18</v>
      </c>
      <c r="B7" s="3">
        <v>45296</v>
      </c>
      <c r="C7" s="2" t="s">
        <v>9</v>
      </c>
      <c r="D7" s="2" t="s">
        <v>13</v>
      </c>
      <c r="E7" s="2">
        <v>2</v>
      </c>
      <c r="F7" t="str">
        <f>IFERROR(VLOOKUP(C7,'Customer Data'!$A$2:$D$6,2,TRUE),"Not Found")</f>
        <v>Neha Verma</v>
      </c>
      <c r="G7" t="str">
        <f>_xlfn.XLOOKUP(F7,'Customer Data'!$B$2:$B$6,'Customer Data'!$D$2:$D$6,,0,1)</f>
        <v>Regular</v>
      </c>
      <c r="H7" t="str">
        <f>_xlfn.XLOOKUP(D7,'Product Data'!$A$2:$A$5,'Product Data'!$B$2:$B$5,,0,1)</f>
        <v>Keyboard</v>
      </c>
      <c r="I7" t="str">
        <f>_xlfn.XLOOKUP(D7,'Product Data'!$A$2:$A$5,'Product Data'!$C$2:$C$5,,0,1)</f>
        <v>Electronics</v>
      </c>
      <c r="J7">
        <f>_xlfn.XLOOKUP('Order Data'!D7,'Product Data'!$A$2:$A$5,'Product Data'!$D$2:$D$5,,0,1)</f>
        <v>1500</v>
      </c>
      <c r="K7">
        <f t="shared" si="0"/>
        <v>3000</v>
      </c>
      <c r="L7" t="str">
        <f>_xlfn.XLOOKUP(Table2[[#This Row],[Customer Name]],'Customer Data'!$B$2:$B$6,'Customer Data'!$C$2:$C$6,,0,1)</f>
        <v>Delhi</v>
      </c>
    </row>
    <row r="8" spans="1:12" x14ac:dyDescent="0.3">
      <c r="A8" s="2" t="s">
        <v>19</v>
      </c>
      <c r="B8" s="3">
        <v>45297</v>
      </c>
      <c r="C8" s="2" t="s">
        <v>20</v>
      </c>
      <c r="D8" s="2" t="s">
        <v>10</v>
      </c>
      <c r="E8" s="2">
        <v>1</v>
      </c>
      <c r="F8" t="str">
        <f>IFERROR(VLOOKUP(C8,'Customer Data'!$A$2:$D$6,2,TRUE),"Not Found")</f>
        <v>Kunal Mehta</v>
      </c>
      <c r="G8" t="str">
        <f>_xlfn.XLOOKUP(F8,'Customer Data'!$B$2:$B$6,'Customer Data'!$D$2:$D$6,,0,1)</f>
        <v>Regular</v>
      </c>
      <c r="H8" t="str">
        <f>_xlfn.XLOOKUP(D8,'Product Data'!$A$2:$A$5,'Product Data'!$B$2:$B$5,,0,1)</f>
        <v>USB Hub</v>
      </c>
      <c r="I8" t="str">
        <f>_xlfn.XLOOKUP(D8,'Product Data'!$A$2:$A$5,'Product Data'!$C$2:$C$5,,0,1)</f>
        <v>Accessories</v>
      </c>
      <c r="J8">
        <f>_xlfn.XLOOKUP('Order Data'!D8,'Product Data'!$A$2:$A$5,'Product Data'!$D$2:$D$5,,0,1)</f>
        <v>800</v>
      </c>
      <c r="K8">
        <f t="shared" si="0"/>
        <v>800</v>
      </c>
      <c r="L8" t="str">
        <f>_xlfn.XLOOKUP(Table2[[#This Row],[Customer Name]],'Customer Data'!$B$2:$B$6,'Customer Data'!$C$2:$C$6,,0,1)</f>
        <v>Ahmedabad</v>
      </c>
    </row>
    <row r="9" spans="1:12" x14ac:dyDescent="0.3">
      <c r="A9" s="2" t="s">
        <v>21</v>
      </c>
      <c r="B9" s="3">
        <v>45298</v>
      </c>
      <c r="C9" s="2" t="s">
        <v>12</v>
      </c>
      <c r="D9" s="2" t="s">
        <v>15</v>
      </c>
      <c r="E9" s="2">
        <v>2</v>
      </c>
      <c r="F9" t="str">
        <f>IFERROR(VLOOKUP(C9,'Customer Data'!$A$2:$D$6,2,TRUE),"Not Found")</f>
        <v>Rahul Iyer</v>
      </c>
      <c r="G9" t="str">
        <f>_xlfn.XLOOKUP(F9,'Customer Data'!$B$2:$B$6,'Customer Data'!$D$2:$D$6,,0,1)</f>
        <v>Premium</v>
      </c>
      <c r="H9" t="str">
        <f>_xlfn.XLOOKUP(D9,'Product Data'!$A$2:$A$5,'Product Data'!$B$2:$B$5,,0,1)</f>
        <v>Laptop Stand</v>
      </c>
      <c r="I9" t="str">
        <f>_xlfn.XLOOKUP(D9,'Product Data'!$A$2:$A$5,'Product Data'!$C$2:$C$5,,0,1)</f>
        <v>Accessories</v>
      </c>
      <c r="J9">
        <f>_xlfn.XLOOKUP('Order Data'!D9,'Product Data'!$A$2:$A$5,'Product Data'!$D$2:$D$5,,0,1)</f>
        <v>2000</v>
      </c>
      <c r="K9">
        <f t="shared" si="0"/>
        <v>4000</v>
      </c>
      <c r="L9" t="str">
        <f>_xlfn.XLOOKUP(Table2[[#This Row],[Customer Name]],'Customer Data'!$B$2:$B$6,'Customer Data'!$C$2:$C$6,,0,1)</f>
        <v>Bangalore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6BA5-5A38-454E-BC5E-EE9271CDD03B}">
  <dimension ref="A1:D6"/>
  <sheetViews>
    <sheetView workbookViewId="0">
      <selection activeCell="D1" sqref="D1"/>
    </sheetView>
  </sheetViews>
  <sheetFormatPr defaultColWidth="11.77734375" defaultRowHeight="14.4" x14ac:dyDescent="0.3"/>
  <sheetData>
    <row r="1" spans="1:4" ht="28.8" x14ac:dyDescent="0.3">
      <c r="A1" s="1" t="s">
        <v>2</v>
      </c>
      <c r="B1" s="1" t="s">
        <v>22</v>
      </c>
      <c r="C1" s="1" t="s">
        <v>23</v>
      </c>
      <c r="D1" s="1" t="s">
        <v>24</v>
      </c>
    </row>
    <row r="2" spans="1:4" x14ac:dyDescent="0.3">
      <c r="A2" s="2" t="s">
        <v>6</v>
      </c>
      <c r="B2" s="2" t="s">
        <v>25</v>
      </c>
      <c r="C2" s="2" t="s">
        <v>26</v>
      </c>
      <c r="D2" s="2" t="s">
        <v>27</v>
      </c>
    </row>
    <row r="3" spans="1:4" ht="28.8" x14ac:dyDescent="0.3">
      <c r="A3" s="2" t="s">
        <v>9</v>
      </c>
      <c r="B3" s="2" t="s">
        <v>28</v>
      </c>
      <c r="C3" s="2" t="s">
        <v>29</v>
      </c>
      <c r="D3" s="2" t="s">
        <v>30</v>
      </c>
    </row>
    <row r="4" spans="1:4" ht="28.8" x14ac:dyDescent="0.3">
      <c r="A4" s="2" t="s">
        <v>12</v>
      </c>
      <c r="B4" s="2" t="s">
        <v>31</v>
      </c>
      <c r="C4" s="2" t="s">
        <v>32</v>
      </c>
      <c r="D4" s="2" t="s">
        <v>27</v>
      </c>
    </row>
    <row r="5" spans="1:4" ht="28.8" x14ac:dyDescent="0.3">
      <c r="A5" s="2" t="s">
        <v>17</v>
      </c>
      <c r="B5" s="2" t="s">
        <v>33</v>
      </c>
      <c r="C5" s="2" t="s">
        <v>34</v>
      </c>
      <c r="D5" s="2" t="s">
        <v>30</v>
      </c>
    </row>
    <row r="6" spans="1:4" ht="28.8" x14ac:dyDescent="0.3">
      <c r="A6" s="2" t="s">
        <v>20</v>
      </c>
      <c r="B6" s="2" t="s">
        <v>35</v>
      </c>
      <c r="C6" s="2" t="s">
        <v>36</v>
      </c>
      <c r="D6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092A-4705-40FC-9EF1-5E49B9F35DF5}">
  <dimension ref="A1:D5"/>
  <sheetViews>
    <sheetView workbookViewId="0">
      <selection activeCell="G1" sqref="G1"/>
    </sheetView>
  </sheetViews>
  <sheetFormatPr defaultColWidth="13.6640625" defaultRowHeight="14.4" x14ac:dyDescent="0.3"/>
  <sheetData>
    <row r="1" spans="1:4" ht="28.8" x14ac:dyDescent="0.3">
      <c r="A1" s="1" t="s">
        <v>3</v>
      </c>
      <c r="B1" s="1" t="s">
        <v>37</v>
      </c>
      <c r="C1" s="1" t="s">
        <v>38</v>
      </c>
      <c r="D1" s="1" t="s">
        <v>39</v>
      </c>
    </row>
    <row r="2" spans="1:4" ht="28.8" x14ac:dyDescent="0.3">
      <c r="A2" s="2" t="s">
        <v>7</v>
      </c>
      <c r="B2" s="2" t="s">
        <v>40</v>
      </c>
      <c r="C2" s="2" t="s">
        <v>41</v>
      </c>
      <c r="D2" s="2">
        <v>1200</v>
      </c>
    </row>
    <row r="3" spans="1:4" ht="28.8" x14ac:dyDescent="0.3">
      <c r="A3" s="2" t="s">
        <v>13</v>
      </c>
      <c r="B3" s="2" t="s">
        <v>42</v>
      </c>
      <c r="C3" s="2" t="s">
        <v>41</v>
      </c>
      <c r="D3" s="2">
        <v>1500</v>
      </c>
    </row>
    <row r="4" spans="1:4" ht="28.8" x14ac:dyDescent="0.3">
      <c r="A4" s="2" t="s">
        <v>10</v>
      </c>
      <c r="B4" s="2" t="s">
        <v>43</v>
      </c>
      <c r="C4" s="2" t="s">
        <v>44</v>
      </c>
      <c r="D4" s="2">
        <v>800</v>
      </c>
    </row>
    <row r="5" spans="1:4" ht="28.8" x14ac:dyDescent="0.3">
      <c r="A5" s="2" t="s">
        <v>15</v>
      </c>
      <c r="B5" s="2" t="s">
        <v>45</v>
      </c>
      <c r="C5" s="2" t="s">
        <v>44</v>
      </c>
      <c r="D5" s="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Order Data</vt:lpstr>
      <vt:lpstr>Customer Data</vt:lpstr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20SJCCC632  Dinto Jose Thottam</dc:creator>
  <cp:lastModifiedBy>Dinto Jose</cp:lastModifiedBy>
  <dcterms:created xsi:type="dcterms:W3CDTF">2025-12-23T14:31:08Z</dcterms:created>
  <dcterms:modified xsi:type="dcterms:W3CDTF">2026-07-19T11:19:34Z</dcterms:modified>
</cp:coreProperties>
</file>