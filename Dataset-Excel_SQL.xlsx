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to Jose\OneDrive\BA projects\"/>
    </mc:Choice>
  </mc:AlternateContent>
  <xr:revisionPtr revIDLastSave="0" documentId="8_{330B9101-0E52-4126-9ED0-7A391C90D446}" xr6:coauthVersionLast="47" xr6:coauthVersionMax="47" xr10:uidLastSave="{00000000-0000-0000-0000-000000000000}"/>
  <bookViews>
    <workbookView xWindow="-108" yWindow="-108" windowWidth="23256" windowHeight="12456" xr2:uid="{71AF4332-78B8-4CC7-8013-BE2866968103}"/>
  </bookViews>
  <sheets>
    <sheet name="Orders" sheetId="1" r:id="rId1"/>
    <sheet name="Customers" sheetId="2" r:id="rId2"/>
    <sheet name="Products" sheetId="4" r:id="rId3"/>
  </sheets>
  <externalReferences>
    <externalReference r:id="rId4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F8" i="1"/>
  <c r="G8" i="1"/>
  <c r="F7" i="1"/>
  <c r="G7" i="1"/>
  <c r="F6" i="1"/>
  <c r="G6" i="1"/>
  <c r="F5" i="1"/>
  <c r="G5" i="1"/>
  <c r="F4" i="1"/>
  <c r="G4" i="1"/>
  <c r="F3" i="1"/>
  <c r="G3" i="1"/>
  <c r="F2" i="1"/>
  <c r="G2" i="1"/>
</calcChain>
</file>

<file path=xl/sharedStrings.xml><?xml version="1.0" encoding="utf-8"?>
<sst xmlns="http://schemas.openxmlformats.org/spreadsheetml/2006/main" count="71" uniqueCount="47">
  <si>
    <t>Order_ID</t>
  </si>
  <si>
    <t>Order_Date</t>
  </si>
  <si>
    <t>Customer_ID</t>
  </si>
  <si>
    <t>Product_ID</t>
  </si>
  <si>
    <t>Quantity</t>
  </si>
  <si>
    <t>Customer Name</t>
  </si>
  <si>
    <t>Segment</t>
  </si>
  <si>
    <t>Category</t>
  </si>
  <si>
    <t>City</t>
  </si>
  <si>
    <t>O1001</t>
  </si>
  <si>
    <t>C101</t>
  </si>
  <si>
    <t>P201</t>
  </si>
  <si>
    <t>O1002</t>
  </si>
  <si>
    <t>C102</t>
  </si>
  <si>
    <t>P203</t>
  </si>
  <si>
    <t>O1003</t>
  </si>
  <si>
    <t>C103</t>
  </si>
  <si>
    <t>P202</t>
  </si>
  <si>
    <t>O1004</t>
  </si>
  <si>
    <t>P204</t>
  </si>
  <si>
    <t>O1005</t>
  </si>
  <si>
    <t>C104</t>
  </si>
  <si>
    <t>O1006</t>
  </si>
  <si>
    <t>O1007</t>
  </si>
  <si>
    <t>C105</t>
  </si>
  <si>
    <t>O1008</t>
  </si>
  <si>
    <t>Customer_Name</t>
  </si>
  <si>
    <t>Amit Sharma</t>
  </si>
  <si>
    <t>Mumbai</t>
  </si>
  <si>
    <t>Premium</t>
  </si>
  <si>
    <t>Neha Verma</t>
  </si>
  <si>
    <t>Delhi</t>
  </si>
  <si>
    <t>Regular</t>
  </si>
  <si>
    <t>Rahul Iyer</t>
  </si>
  <si>
    <t>Bangalore</t>
  </si>
  <si>
    <t>Pooja Singh</t>
  </si>
  <si>
    <t>Pune</t>
  </si>
  <si>
    <t>Kunal Mehta</t>
  </si>
  <si>
    <t>Ahmedabad</t>
  </si>
  <si>
    <t>Product_Name</t>
  </si>
  <si>
    <t>Unit_Price</t>
  </si>
  <si>
    <t>Wireless Mouse</t>
  </si>
  <si>
    <t>Electronics</t>
  </si>
  <si>
    <t>Keyboard</t>
  </si>
  <si>
    <t>USB Hub</t>
  </si>
  <si>
    <t>Accessories</t>
  </si>
  <si>
    <t>Laptop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</si>
</sst>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nto%20Jose\OneDrive\BA%20projects\BA%20mini%20project%20-%20Advanced%20Excel.xlsx" TargetMode="External"/><Relationship Id="rId1" Type="http://schemas.openxmlformats.org/officeDocument/2006/relationships/externalLinkPath" Target="BA%20mini%20project%20-%20Advanced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Order Data"/>
      <sheetName val="Customer Data"/>
      <sheetName val="Product Data"/>
    </sheetNames>
    <sheetDataSet>
      <sheetData sheetId="0"/>
      <sheetData sheetId="1"/>
      <sheetData sheetId="2">
        <row r="2">
          <cell r="A2" t="str">
            <v>C101</v>
          </cell>
          <cell r="B2" t="str">
            <v>Amit Sharma</v>
          </cell>
          <cell r="C2" t="str">
            <v>Mumbai</v>
          </cell>
          <cell r="D2" t="str">
            <v>Premium</v>
          </cell>
        </row>
        <row r="3">
          <cell r="A3" t="str">
            <v>C102</v>
          </cell>
          <cell r="B3" t="str">
            <v>Neha Verma</v>
          </cell>
          <cell r="C3" t="str">
            <v>Delhi</v>
          </cell>
          <cell r="D3" t="str">
            <v>Regular</v>
          </cell>
        </row>
        <row r="4">
          <cell r="A4" t="str">
            <v>C103</v>
          </cell>
          <cell r="B4" t="str">
            <v>Rahul Iyer</v>
          </cell>
          <cell r="C4" t="str">
            <v>Bangalore</v>
          </cell>
          <cell r="D4" t="str">
            <v>Premium</v>
          </cell>
        </row>
        <row r="5">
          <cell r="A5" t="str">
            <v>C104</v>
          </cell>
          <cell r="B5" t="str">
            <v>Pooja Singh</v>
          </cell>
          <cell r="C5" t="str">
            <v>Pune</v>
          </cell>
          <cell r="D5" t="str">
            <v>Regular</v>
          </cell>
        </row>
        <row r="6">
          <cell r="A6" t="str">
            <v>C105</v>
          </cell>
          <cell r="B6" t="str">
            <v>Kunal Mehta</v>
          </cell>
          <cell r="C6" t="str">
            <v>Ahmedabad</v>
          </cell>
          <cell r="D6" t="str">
            <v>Regular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CE807-6C3B-4CCD-971A-5A2989562F27}" name="Table2" displayName="Table2" ref="A1:G9" totalsRowShown="0" headerRowDxfId="18">
  <autoFilter ref="A1:G9" xr:uid="{B47282EA-EDB3-4C48-8AF9-7DE22B046AB6}"/>
  <tableColumns count="7">
    <tableColumn id="1" xr3:uid="{45140CA9-86F6-489D-9FDC-49B78279CB6F}" name="Order_ID" dataDxfId="17"/>
    <tableColumn id="2" xr3:uid="{7F94DA40-34C3-4AAA-980D-C9B9D2AD4C05}" name="Order_Date" dataDxfId="16"/>
    <tableColumn id="3" xr3:uid="{C4DE38F3-7320-4FCE-AE0E-E174993F83ED}" name="Customer_ID" dataDxfId="15"/>
    <tableColumn id="4" xr3:uid="{F08239C8-17FB-4C0D-AEF2-38AB3078E7F5}" name="Product_ID" dataDxfId="14"/>
    <tableColumn id="5" xr3:uid="{476B7013-28E0-4631-92B1-80700C07A1D8}" name="Quantity" dataDxfId="13"/>
    <tableColumn id="6" xr3:uid="{3135F80D-54E8-4C50-B4EA-C80DBAE177F8}" name="Customer Name" dataDxfId="12">
      <calculatedColumnFormula>IFERROR(VLOOKUP(C2,'[1]Customer Data'!$A$2:$D$6,2,TRUE),"Not Found")</calculatedColumnFormula>
    </tableColumn>
    <tableColumn id="7" xr3:uid="{80A24064-8C07-43FC-BE00-1367E32DD0E9}" name="Segment">
      <calculatedColumnFormula>_xlfn.XLOOKUP(F2,'[1]Customer Data'!$B$2:$B$6,'[1]Customer Data'!$D$2:$D$6,,0,1)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A3E26-728F-4B67-9E73-384A29215C8E}" name="Table3" displayName="Table3" ref="A1:D6" totalsRowShown="0" headerRowDxfId="6" dataDxfId="7">
  <autoFilter ref="A1:D6" xr:uid="{6D0A3E26-728F-4B67-9E73-384A29215C8E}"/>
  <tableColumns count="4">
    <tableColumn id="1" xr3:uid="{49921259-85CB-4492-BA57-3488D75173AF}" name="Customer_ID" dataDxfId="11"/>
    <tableColumn id="2" xr3:uid="{1773FAB6-02A7-425D-9718-9E845615C38C}" name="Customer_Name" dataDxfId="10"/>
    <tableColumn id="3" xr3:uid="{28011583-DF9A-471E-8A59-5B2099942472}" name="City" dataDxfId="9"/>
    <tableColumn id="4" xr3:uid="{68A8DF68-2C18-40B4-8658-EF9C70B7A73A}" name="Segment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1CE92-9760-487B-921F-DA7A1A2E5363}" name="Table4" displayName="Table4" ref="A1:D5" totalsRowShown="0" headerRowDxfId="0" dataDxfId="1">
  <autoFilter ref="A1:D5" xr:uid="{2511CE92-9760-487B-921F-DA7A1A2E5363}"/>
  <tableColumns count="4">
    <tableColumn id="1" xr3:uid="{89B1872D-D328-4C75-8B3B-2B0FF5DF8FE7}" name="Product_ID" dataDxfId="5"/>
    <tableColumn id="2" xr3:uid="{B854E996-9916-4722-9ACC-B1F3D1852431}" name="Product_Name" dataDxfId="4"/>
    <tableColumn id="3" xr3:uid="{4C8CEFF7-E545-4BB1-9A62-368546A7A2A7}" name="Category" dataDxfId="3"/>
    <tableColumn id="4" xr3:uid="{5D41F63D-D7B8-4ECE-ADBA-2CB23B9BA1B9}" name="Unit_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9D81-9C1C-4F5C-8781-06A1B24FC95C}">
  <dimension ref="A1:G9"/>
  <sheetViews>
    <sheetView tabSelected="1" workbookViewId="0">
      <selection activeCell="J10" sqref="J10"/>
    </sheetView>
  </sheetViews>
  <sheetFormatPr defaultColWidth="11.88671875" defaultRowHeight="14.4" x14ac:dyDescent="0.3"/>
  <cols>
    <col min="1" max="1" width="17.6640625" bestFit="1" customWidth="1"/>
    <col min="2" max="2" width="15.5546875" bestFit="1" customWidth="1"/>
    <col min="3" max="3" width="7.33203125" bestFit="1" customWidth="1"/>
    <col min="4" max="4" width="15.33203125" bestFit="1" customWidth="1"/>
    <col min="5" max="5" width="12" bestFit="1" customWidth="1"/>
    <col min="6" max="6" width="7.33203125" bestFit="1" customWidth="1"/>
    <col min="7" max="7" width="14.77734375" bestFit="1" customWidth="1"/>
    <col min="8" max="9" width="10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9</v>
      </c>
      <c r="B2" s="3">
        <v>45292</v>
      </c>
      <c r="C2" s="2" t="s">
        <v>10</v>
      </c>
      <c r="D2" s="2" t="s">
        <v>11</v>
      </c>
      <c r="E2" s="2">
        <v>2</v>
      </c>
      <c r="F2" t="str">
        <f>IFERROR(VLOOKUP(C2,'[1]Customer Data'!$A$2:$D$6,2,TRUE),"Not Found")</f>
        <v>Amit Sharma</v>
      </c>
      <c r="G2" t="str">
        <f>_xlfn.XLOOKUP(F2,'[1]Customer Data'!$B$2:$B$6,'[1]Customer Data'!$D$2:$D$6,,0,1)</f>
        <v>Premium</v>
      </c>
    </row>
    <row r="3" spans="1:7" x14ac:dyDescent="0.3">
      <c r="A3" s="2" t="s">
        <v>12</v>
      </c>
      <c r="B3" s="3">
        <v>45293</v>
      </c>
      <c r="C3" s="2" t="s">
        <v>13</v>
      </c>
      <c r="D3" s="2" t="s">
        <v>14</v>
      </c>
      <c r="E3" s="2">
        <v>1</v>
      </c>
      <c r="F3" t="str">
        <f>IFERROR(VLOOKUP(C3,'[1]Customer Data'!$A$2:$D$6,2,TRUE),"Not Found")</f>
        <v>Neha Verma</v>
      </c>
      <c r="G3" t="str">
        <f>_xlfn.XLOOKUP(F3,'[1]Customer Data'!$B$2:$B$6,'[1]Customer Data'!$D$2:$D$6,,0,1)</f>
        <v>Regular</v>
      </c>
    </row>
    <row r="4" spans="1:7" x14ac:dyDescent="0.3">
      <c r="A4" s="2" t="s">
        <v>15</v>
      </c>
      <c r="B4" s="3">
        <v>45293</v>
      </c>
      <c r="C4" s="2" t="s">
        <v>16</v>
      </c>
      <c r="D4" s="2" t="s">
        <v>17</v>
      </c>
      <c r="E4" s="2">
        <v>3</v>
      </c>
      <c r="F4" t="str">
        <f>IFERROR(VLOOKUP(C4,'[1]Customer Data'!$A$2:$D$6,2,TRUE),"Not Found")</f>
        <v>Rahul Iyer</v>
      </c>
      <c r="G4" t="str">
        <f>_xlfn.XLOOKUP(F4,'[1]Customer Data'!$B$2:$B$6,'[1]Customer Data'!$D$2:$D$6,,0,1)</f>
        <v>Premium</v>
      </c>
    </row>
    <row r="5" spans="1:7" x14ac:dyDescent="0.3">
      <c r="A5" s="2" t="s">
        <v>18</v>
      </c>
      <c r="B5" s="3">
        <v>45294</v>
      </c>
      <c r="C5" s="2" t="s">
        <v>10</v>
      </c>
      <c r="D5" s="2" t="s">
        <v>19</v>
      </c>
      <c r="E5" s="2">
        <v>1</v>
      </c>
      <c r="F5" t="str">
        <f>IFERROR(VLOOKUP(C5,'[1]Customer Data'!$A$2:$D$6,2,TRUE),"Not Found")</f>
        <v>Amit Sharma</v>
      </c>
      <c r="G5" t="str">
        <f>_xlfn.XLOOKUP(F5,'[1]Customer Data'!$B$2:$B$6,'[1]Customer Data'!$D$2:$D$6,,0,1)</f>
        <v>Premium</v>
      </c>
    </row>
    <row r="6" spans="1:7" x14ac:dyDescent="0.3">
      <c r="A6" s="2" t="s">
        <v>20</v>
      </c>
      <c r="B6" s="3">
        <v>45295</v>
      </c>
      <c r="C6" s="2" t="s">
        <v>21</v>
      </c>
      <c r="D6" s="2" t="s">
        <v>11</v>
      </c>
      <c r="E6" s="2">
        <v>4</v>
      </c>
      <c r="F6" t="str">
        <f>IFERROR(VLOOKUP(C6,'[1]Customer Data'!$A$2:$D$6,2,TRUE),"Not Found")</f>
        <v>Pooja Singh</v>
      </c>
      <c r="G6" t="str">
        <f>_xlfn.XLOOKUP(F6,'[1]Customer Data'!$B$2:$B$6,'[1]Customer Data'!$D$2:$D$6,,0,1)</f>
        <v>Regular</v>
      </c>
    </row>
    <row r="7" spans="1:7" x14ac:dyDescent="0.3">
      <c r="A7" s="2" t="s">
        <v>22</v>
      </c>
      <c r="B7" s="3">
        <v>45296</v>
      </c>
      <c r="C7" s="2" t="s">
        <v>13</v>
      </c>
      <c r="D7" s="2" t="s">
        <v>17</v>
      </c>
      <c r="E7" s="2">
        <v>2</v>
      </c>
      <c r="F7" t="str">
        <f>IFERROR(VLOOKUP(C7,'[1]Customer Data'!$A$2:$D$6,2,TRUE),"Not Found")</f>
        <v>Neha Verma</v>
      </c>
      <c r="G7" t="str">
        <f>_xlfn.XLOOKUP(F7,'[1]Customer Data'!$B$2:$B$6,'[1]Customer Data'!$D$2:$D$6,,0,1)</f>
        <v>Regular</v>
      </c>
    </row>
    <row r="8" spans="1:7" x14ac:dyDescent="0.3">
      <c r="A8" s="2" t="s">
        <v>23</v>
      </c>
      <c r="B8" s="3">
        <v>45297</v>
      </c>
      <c r="C8" s="2" t="s">
        <v>24</v>
      </c>
      <c r="D8" s="2" t="s">
        <v>14</v>
      </c>
      <c r="E8" s="2">
        <v>1</v>
      </c>
      <c r="F8" t="str">
        <f>IFERROR(VLOOKUP(C8,'[1]Customer Data'!$A$2:$D$6,2,TRUE),"Not Found")</f>
        <v>Kunal Mehta</v>
      </c>
      <c r="G8" t="str">
        <f>_xlfn.XLOOKUP(F8,'[1]Customer Data'!$B$2:$B$6,'[1]Customer Data'!$D$2:$D$6,,0,1)</f>
        <v>Regular</v>
      </c>
    </row>
    <row r="9" spans="1:7" x14ac:dyDescent="0.3">
      <c r="A9" s="2" t="s">
        <v>25</v>
      </c>
      <c r="B9" s="3">
        <v>45298</v>
      </c>
      <c r="C9" s="2" t="s">
        <v>16</v>
      </c>
      <c r="D9" s="2" t="s">
        <v>19</v>
      </c>
      <c r="E9" s="2">
        <v>2</v>
      </c>
      <c r="F9" t="str">
        <f>IFERROR(VLOOKUP(C9,'[1]Customer Data'!$A$2:$D$6,2,TRUE),"Not Found")</f>
        <v>Rahul Iyer</v>
      </c>
      <c r="G9" t="str">
        <f>_xlfn.XLOOKUP(F9,'[1]Customer Data'!$B$2:$B$6,'[1]Customer Data'!$D$2:$D$6,,0,1)</f>
        <v>Premium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8B9A-68AC-4218-B241-560E04ECDCEB}">
  <dimension ref="A1:D6"/>
  <sheetViews>
    <sheetView workbookViewId="0">
      <selection activeCell="B14" sqref="B14"/>
    </sheetView>
  </sheetViews>
  <sheetFormatPr defaultColWidth="11.77734375" defaultRowHeight="14.4" x14ac:dyDescent="0.3"/>
  <cols>
    <col min="1" max="1" width="13.77734375" customWidth="1"/>
    <col min="2" max="2" width="17" customWidth="1"/>
  </cols>
  <sheetData>
    <row r="1" spans="1:4" ht="28.8" x14ac:dyDescent="0.3">
      <c r="A1" s="1" t="s">
        <v>2</v>
      </c>
      <c r="B1" s="1" t="s">
        <v>26</v>
      </c>
      <c r="C1" s="1" t="s">
        <v>8</v>
      </c>
      <c r="D1" s="1" t="s">
        <v>6</v>
      </c>
    </row>
    <row r="2" spans="1:4" x14ac:dyDescent="0.3">
      <c r="A2" s="2" t="s">
        <v>10</v>
      </c>
      <c r="B2" s="2" t="s">
        <v>27</v>
      </c>
      <c r="C2" s="2" t="s">
        <v>28</v>
      </c>
      <c r="D2" s="2" t="s">
        <v>29</v>
      </c>
    </row>
    <row r="3" spans="1:4" x14ac:dyDescent="0.3">
      <c r="A3" s="2" t="s">
        <v>13</v>
      </c>
      <c r="B3" s="2" t="s">
        <v>30</v>
      </c>
      <c r="C3" s="2" t="s">
        <v>31</v>
      </c>
      <c r="D3" s="2" t="s">
        <v>32</v>
      </c>
    </row>
    <row r="4" spans="1:4" x14ac:dyDescent="0.3">
      <c r="A4" s="2" t="s">
        <v>16</v>
      </c>
      <c r="B4" s="2" t="s">
        <v>33</v>
      </c>
      <c r="C4" s="2" t="s">
        <v>34</v>
      </c>
      <c r="D4" s="2" t="s">
        <v>29</v>
      </c>
    </row>
    <row r="5" spans="1:4" x14ac:dyDescent="0.3">
      <c r="A5" s="2" t="s">
        <v>21</v>
      </c>
      <c r="B5" s="2" t="s">
        <v>35</v>
      </c>
      <c r="C5" s="2" t="s">
        <v>36</v>
      </c>
      <c r="D5" s="2" t="s">
        <v>32</v>
      </c>
    </row>
    <row r="6" spans="1:4" x14ac:dyDescent="0.3">
      <c r="A6" s="2" t="s">
        <v>24</v>
      </c>
      <c r="B6" s="2" t="s">
        <v>37</v>
      </c>
      <c r="C6" s="2" t="s">
        <v>38</v>
      </c>
      <c r="D6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506A-640C-42DA-801A-4357AD163AB4}">
  <dimension ref="A1:D5"/>
  <sheetViews>
    <sheetView workbookViewId="0">
      <selection activeCell="D12" sqref="D12"/>
    </sheetView>
  </sheetViews>
  <sheetFormatPr defaultColWidth="13.6640625" defaultRowHeight="14.4" x14ac:dyDescent="0.3"/>
  <cols>
    <col min="2" max="2" width="15.5546875" customWidth="1"/>
  </cols>
  <sheetData>
    <row r="1" spans="1:4" ht="28.8" x14ac:dyDescent="0.3">
      <c r="A1" s="1" t="s">
        <v>3</v>
      </c>
      <c r="B1" s="1" t="s">
        <v>39</v>
      </c>
      <c r="C1" s="1" t="s">
        <v>7</v>
      </c>
      <c r="D1" s="1" t="s">
        <v>40</v>
      </c>
    </row>
    <row r="2" spans="1:4" ht="28.8" x14ac:dyDescent="0.3">
      <c r="A2" s="2" t="s">
        <v>11</v>
      </c>
      <c r="B2" s="2" t="s">
        <v>41</v>
      </c>
      <c r="C2" s="2" t="s">
        <v>42</v>
      </c>
      <c r="D2" s="2">
        <v>1200</v>
      </c>
    </row>
    <row r="3" spans="1:4" x14ac:dyDescent="0.3">
      <c r="A3" s="2" t="s">
        <v>17</v>
      </c>
      <c r="B3" s="2" t="s">
        <v>43</v>
      </c>
      <c r="C3" s="2" t="s">
        <v>42</v>
      </c>
      <c r="D3" s="2">
        <v>1500</v>
      </c>
    </row>
    <row r="4" spans="1:4" x14ac:dyDescent="0.3">
      <c r="A4" s="2" t="s">
        <v>14</v>
      </c>
      <c r="B4" s="2" t="s">
        <v>44</v>
      </c>
      <c r="C4" s="2" t="s">
        <v>45</v>
      </c>
      <c r="D4" s="2">
        <v>800</v>
      </c>
    </row>
    <row r="5" spans="1:4" x14ac:dyDescent="0.3">
      <c r="A5" s="2" t="s">
        <v>19</v>
      </c>
      <c r="B5" s="2" t="s">
        <v>46</v>
      </c>
      <c r="C5" s="2" t="s">
        <v>45</v>
      </c>
      <c r="D5" s="2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Dinto Jose</dc:creator>
  <cp:lastModifiedBy>Dinto Jose</cp:lastModifiedBy>
  <dcterms:created xsi:type="dcterms:W3CDTF">2026-07-19T15:33:19Z</dcterms:created>
  <dcterms:modified xsi:type="dcterms:W3CDTF">2026-07-19T15:40:44Z</dcterms:modified>
</cp:coreProperties>
</file>